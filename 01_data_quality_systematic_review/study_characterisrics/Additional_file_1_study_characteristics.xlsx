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full_text"/>
    <sheet r:id="rId2" sheetId="2" name="exclusion_reason_papers"/>
    <sheet r:id="rId3" sheetId="3" name="study_characteristics"/>
  </sheets>
  <calcPr fullCalcOnLoad="1"/>
</workbook>
</file>

<file path=xl/sharedStrings.xml><?xml version="1.0" encoding="utf-8"?>
<sst xmlns="http://schemas.openxmlformats.org/spreadsheetml/2006/main" count="542" uniqueCount="281">
  <si>
    <t>No.</t>
  </si>
  <si>
    <t>Year</t>
  </si>
  <si>
    <t>Authors</t>
  </si>
  <si>
    <t>Country</t>
  </si>
  <si>
    <t>Healthcare domain</t>
  </si>
  <si>
    <t>Study design</t>
  </si>
  <si>
    <t>Data source</t>
  </si>
  <si>
    <t>Data type</t>
  </si>
  <si>
    <t>Payer type</t>
  </si>
  <si>
    <t>Population / sample size</t>
  </si>
  <si>
    <t>Comments</t>
  </si>
  <si>
    <t>Ceratti et al. [47]</t>
  </si>
  <si>
    <t>Belgium</t>
  </si>
  <si>
    <t>Cardiovascular</t>
  </si>
  <si>
    <t>Cross-database comparison</t>
  </si>
  <si>
    <t>Belgian National Medical Minimum Basic Data Set (MBDS) and National Bill Summary Database, covering hospital stays from January to March 2000 across 124 Belgian hospitals.</t>
  </si>
  <si>
    <t>Hospital administrative data + billing data</t>
  </si>
  <si>
    <t>National / Statutory (Belgium)</t>
  </si>
  <si>
    <t>105,846 inpatient stays for heart failure , 127,931 for hypertension , 19,645 for pneumonia</t>
  </si>
  <si>
    <t>Kamdje-Wabo et al. [58]</t>
  </si>
  <si>
    <t>Germany</t>
  </si>
  <si>
    <t>General / Multi-domain</t>
  </si>
  <si>
    <t>Empirical validation</t>
  </si>
  <si>
    <t>Aggregated §21-conformant inpatient administrative and billing data from one German university hospital participating in the MII Demonstrator Study</t>
  </si>
  <si>
    <t>Hospital administrative billing data (§21/DRG-based)</t>
  </si>
  <si>
    <t>German SHI (GKV)</t>
  </si>
  <si>
    <t xml:space="preserve">152,806 inpatient cases, 94,570 patients </t>
  </si>
  <si>
    <t>Khoo and Hasan [62]</t>
  </si>
  <si>
    <t>Australia</t>
  </si>
  <si>
    <t>Mixed methods</t>
  </si>
  <si>
    <t xml:space="preserve">De-identified hospital and payment-claims data from 13 Australian private health-insurance funds. </t>
  </si>
  <si>
    <t>Private health-insurance claims/billing data</t>
  </si>
  <si>
    <t>Private health insurance (Australia)</t>
  </si>
  <si>
    <t>234,780 insured individuals and 573,684 hospital admissions.</t>
  </si>
  <si>
    <t>Roos et al. [32]</t>
  </si>
  <si>
    <t>Canada</t>
  </si>
  <si>
    <t>Linked administrative files from the Manitoba Health Services Commission: population registration file, hospital file and physician medical-claims file</t>
  </si>
  <si>
    <t>Administrative registration, hospital and medical claims data</t>
  </si>
  <si>
    <t>Provincial public insurance (Canada)</t>
  </si>
  <si>
    <t>Multiple condition-specific patient and procedure cohorts; no single overall study population was reported.</t>
  </si>
  <si>
    <t>Huang et al. [63]</t>
  </si>
  <si>
    <t>Taiwan</t>
  </si>
  <si>
    <t>Methodological</t>
  </si>
  <si>
    <t xml:space="preserve">Taiwan National Health Insurance Research Database (NHIRD) longitudinal claims, linked national death and cause-of-death registry data, and EHR data from the National Taiwan University Hospital Integrated Medical Database (NTUH-iMD). </t>
  </si>
  <si>
    <t>National insurance claims + linked registry, mortality and EHR data</t>
  </si>
  <si>
    <t>National Health Insurance (Taiwan — NHI)</t>
  </si>
  <si>
    <t>Approximately 23 million individuals in the complete NHIRD; a stratified sample of 3 million individuals was used for the data-quality assessment</t>
  </si>
  <si>
    <t>Ammann et al. [53]</t>
  </si>
  <si>
    <t>USA</t>
  </si>
  <si>
    <t>Chronic disease</t>
  </si>
  <si>
    <t>Optum Integrated Claims–Clinical Database, containing linked and de-identified insurance claims and EHR data for commercial and Medicare Advantage health-plan members</t>
  </si>
  <si>
    <t>Insurance claims + linked EHR clinical data.</t>
  </si>
  <si>
    <t>Commercial / Medicare Advantage (USA)</t>
  </si>
  <si>
    <t>746,763 distinct health-plan members, contributing 1,116,283 eligible person-years.</t>
  </si>
  <si>
    <t>Samples et al. [50]</t>
  </si>
  <si>
    <t>Observational / Retrospective</t>
  </si>
  <si>
    <t>CMS national Medicaid MAX research files, 2001–2013, and T-MSIS Analytic Files (TAF), 2014–2019, including enrollment, inpatient, outpatient/other-services and pharmacy claims or encounter files</t>
  </si>
  <si>
    <t>Medicaid claims and managed-care encounter data.</t>
  </si>
  <si>
    <t>Medicaid (USA)</t>
  </si>
  <si>
    <t xml:space="preserve">194,364,647 enrollees , adults aged 18-64 with continuous enrollment; final sample for analysis: 135,451,659 enrollees who met the inclusion criteria </t>
  </si>
  <si>
    <t>Maciejewski et al. [50]</t>
  </si>
  <si>
    <t>Poland</t>
  </si>
  <si>
    <t>Administrative and billing data from the Polish National Health Fund, linked and compared with individual patient health records from the CRAFT heart-failure registry.</t>
  </si>
  <si>
    <t>NHF administrative billing data + clinical registry/IHR data.</t>
  </si>
  <si>
    <t>National Health Fund (Poland — NFZ)</t>
  </si>
  <si>
    <t xml:space="preserve">3,338 patients, with 565,521 healthcare services containing diagnosis codes. </t>
  </si>
  <si>
    <t>Miller et al. [54]</t>
  </si>
  <si>
    <t>Paediatric</t>
  </si>
  <si>
    <t>Peadiatric Health Information System (PHIS) administrative and billing chemotherapy data, linked with Children’s Oncology Group AAML0531 clinical-trial and protocol data; Children’s Hospital of Philadelphia medication-administration records were used for secondary validation.</t>
  </si>
  <si>
    <t>Pharmacy administrative/billing data + clinical-trial and medication-administration data.</t>
  </si>
  <si>
    <t>Mixed: private + commercial (USA)</t>
  </si>
  <si>
    <t xml:space="preserve">384 paediatric patients receiving 1,060 chemotherapy courses. </t>
  </si>
  <si>
    <t>Barberio et al. [48]</t>
  </si>
  <si>
    <t>Japan</t>
  </si>
  <si>
    <t>Others</t>
  </si>
  <si>
    <t>Japan Medical Data Center (JMDC) claims database</t>
  </si>
  <si>
    <t>Administrative claims: inpatient, outpatient and pharmacy data</t>
  </si>
  <si>
    <t>Private employer-sponsored (Japan — JMDC)</t>
  </si>
  <si>
    <t xml:space="preserve">5,795,818 females aged 12–55 years and 717,034 infants were identified; the final linked sample contained 385,295 mother–infant pairs. </t>
  </si>
  <si>
    <t>Gadde et al. [55]</t>
  </si>
  <si>
    <t>Aggregated Medicaid-only records from a US state All-Payer Claims Database (APCD).</t>
  </si>
  <si>
    <t xml:space="preserve">All-payer claims, eligibility, provider, pharmacy and dental files. </t>
  </si>
  <si>
    <t>52,185 patients represented in the Medicaid APCD dataset</t>
  </si>
  <si>
    <t>Khan et al. [56]</t>
  </si>
  <si>
    <t>Administrative ICD-9 billing-code data derived from the Oregon Health &amp; Science University Hospital EHR system, validated through complete medical-chart review.</t>
  </si>
  <si>
    <t>EHR-derived administrative diagnosis codes + provider/chart review.</t>
  </si>
  <si>
    <t>Not clearly specified</t>
  </si>
  <si>
    <t xml:space="preserve">2,399 adults with at least one congenital heart-disease ICD-9 code were identified; 2,193 formed the evaluated cohort after exclusions, of whom 1,069 had confirmed congenital heart disease. </t>
  </si>
  <si>
    <t>Chughtai et al. [51]</t>
  </si>
  <si>
    <t>912,478 Medicaid enrollees with OUD in TAF , aged 12-64, non-dual, full-benefit; Transformed Medicaid Statistical Inform</t>
  </si>
  <si>
    <t>Medicaid claims and enrollment data + state Medicaid benchmark data</t>
  </si>
  <si>
    <t>20,521,976 Medicaid enrollees in TAF, including 912,478 enrollees with opioid-use disorder; the MODRN comparison contained 21,185,130 enrollees, including 1,034,412 with opioid-use disorde</t>
  </si>
  <si>
    <t>Laws et al. [57]</t>
  </si>
  <si>
    <t xml:space="preserve">2013 Rhode Island Medicaid claims submitted by three primary-care practice sites, compared with programmatically extracted EHR data from the same sites; selected discrepant records underwent manual EHR review. </t>
  </si>
  <si>
    <t>Medicaid claims + EHR data + manual record review</t>
  </si>
  <si>
    <t>21,030 adult Rhode Island Medicaid beneficiaries receiving care from three primary-care practices.</t>
  </si>
  <si>
    <t>Ditscheid et al. [59]</t>
  </si>
  <si>
    <t xml:space="preserve">scientific data warehouse of BARMER,  one large German statutory health-insurance fund, covering outpatient physician services, prescription drugs, remedies, medical aids, hospital cases and inpatient procedures. </t>
  </si>
  <si>
    <t>SHI administrative claims/billing data.</t>
  </si>
  <si>
    <t>47,610 deceased insured persons</t>
  </si>
  <si>
    <t xml:space="preserve">This paper uses: Outpatinet physician care, outpatient treatment cases , and billing data so this was categorized under General category. </t>
  </si>
  <si>
    <t>Hartmann et al. [60]</t>
  </si>
  <si>
    <t>2012 AOK Baden-Württemberg statutory health-insurance routine claims, primarily gender-specific outpatient diagnoses, with associated outpatient billing items, physician-specialty information and insured-person master data used for internal validation.</t>
  </si>
  <si>
    <t>SHI administrative claims data—outpatient diagnoses</t>
  </si>
  <si>
    <t>3.8 million insured persons (AOK Baden-Württemberg, 2012 data)</t>
  </si>
  <si>
    <t>Winkler et al. [61]</t>
  </si>
  <si>
    <t>Individual-level routine claims supplied by 49 German statutory health-insurance funds for TIM-HF2 participants, linked with TIM-HF2 primary clinical-trial data.</t>
  </si>
  <si>
    <t>SHI claims/billing data + clinical-trial data</t>
  </si>
  <si>
    <t xml:space="preserve">1,538 TIM-HF2 participants; approximately 95% were statutorily insured, and claims data were ultimately available for 1,450 participants. </t>
  </si>
  <si>
    <t>Lloyd et al. [49]</t>
  </si>
  <si>
    <t xml:space="preserve">CMS national Medicaid MAX files, 2001–2013, and T-MSIS Analytic Files, 2014–2019, using inpatient, other-services and pharmacy claims or encounter files for Medicaid and Medicaid-expansion CHIP children. </t>
  </si>
  <si>
    <t>Medicaid / CHIP (USA)</t>
  </si>
  <si>
    <t>368,663,012 pediatric person-years (888 state-years); main comparison: 235,948,821 person-years</t>
  </si>
  <si>
    <t>Wang et al. [52]</t>
  </si>
  <si>
    <t>Medicaid MAX Personal Summary and Other Therapy files for 2011–2012, and TAF Demographics and Enrollment and Other Services files for 2016–2018, covering fee-for-service claims and managed-care encounter records.</t>
  </si>
  <si>
    <t xml:space="preserve">Medicaid fee-for-service claims and managed-care encounter data. </t>
  </si>
  <si>
    <t>100% Medicaid beneficiaries (MAX 2011–2012; TAF 2016–2018), o single aggregate number of unique beneficiaries was reported</t>
  </si>
  <si>
    <t>Exclusion reason</t>
  </si>
  <si>
    <t>Definition</t>
  </si>
  <si>
    <t>Count</t>
  </si>
  <si>
    <t>Citation</t>
  </si>
  <si>
    <t>Data Source out of scope</t>
  </si>
  <si>
    <t>Studies in which the primary data source assessed was not healthcare insurance claims, administrative billing data, or an equivalent healthcare administrative claims source.</t>
  </si>
  <si>
    <t>Miao et al. (2020); Butala et al. (2024); Stroupe et al. (2010); Muench et al. (2016); Zak and Even (2015)</t>
  </si>
  <si>
    <t>No data quality evaluation</t>
  </si>
  <si>
    <t>Publications in which no data quality issue, indicator, or validation outcome was empirically assessed or measured.</t>
  </si>
  <si>
    <t>Lee et al. (2025); Finster et al. (2025)</t>
  </si>
  <si>
    <t>Study focus or design out of scope</t>
  </si>
  <si>
    <t>Studies in which claims or administrative data were used instrumentally, for example for outcome research, clinical prediction, surveillance, or clinical characterization, without claims-data quality being the primary research objective. This also includes reviews and other non-empirical study designs.</t>
  </si>
  <si>
    <t>Costich et al. (2022); Zhang et al. (2024); Schächinger (2025); Ali et al. (2025); Sukumar et al. (2015)</t>
  </si>
  <si>
    <t>Language restriction</t>
  </si>
  <si>
    <t>Studies not published in English or German.</t>
  </si>
  <si>
    <t>No abstract or full text</t>
  </si>
  <si>
    <t>Studies without accessible abstracts or full-text versions.</t>
  </si>
  <si>
    <t>Total</t>
  </si>
  <si>
    <t>Title</t>
  </si>
  <si>
    <t>DOI URL</t>
  </si>
  <si>
    <t>Journal</t>
  </si>
  <si>
    <t>Reviewers Group</t>
  </si>
  <si>
    <t>Decision Reviewer 1 (VP)</t>
  </si>
  <si>
    <t>Decision Reviewer 2 (EH)</t>
  </si>
  <si>
    <t>Decision Reviewer 3 (AE)</t>
  </si>
  <si>
    <t>Decision Reviewer 4 (CMH)</t>
  </si>
  <si>
    <t>Decision Reviewer 4 (TR)</t>
  </si>
  <si>
    <t xml:space="preserve">Final Decision note from all reviewers </t>
  </si>
  <si>
    <t>Rules Based Data Quality Assessment on Claims Database.</t>
  </si>
  <si>
    <t>https://doi.org/10.3233/SHTI200567</t>
  </si>
  <si>
    <t>Gadde MA; Wang Z; Zozus M; Talburt JB; Greer ML</t>
  </si>
  <si>
    <t>Studies in health technology and informatics</t>
  </si>
  <si>
    <t>EH + AE</t>
  </si>
  <si>
    <t>Included</t>
  </si>
  <si>
    <t>X</t>
  </si>
  <si>
    <t>Trends in ICD-10-CM-Coded Administrative Datasets for Injury Surveillance and Research.</t>
  </si>
  <si>
    <t>https://doi.org/10.14423/SMJ.0000000000001463</t>
  </si>
  <si>
    <t>Costich JF; Quesinberry DB; Daniels LK; Bush A</t>
  </si>
  <si>
    <t>Southern medical journal</t>
  </si>
  <si>
    <t>CMH +TR</t>
  </si>
  <si>
    <t>Excluded</t>
  </si>
  <si>
    <t>Maybe</t>
  </si>
  <si>
    <t>Excluded because the study evaluates coding completeness in hospital administrative discharge/ED billing data rather than conducting a data-quality assessment of a clearly defined claims-based dataset. Therefore, the data source does not meet the review’s eligibility criteria for healthcare claims data.</t>
  </si>
  <si>
    <t>Data Quality Assessment on Congenital Anomalies in Ontario, Canada.</t>
  </si>
  <si>
    <t>https://doi.org/10.3389/fped.2020.573090</t>
  </si>
  <si>
    <t>Miao Q; Moore AM; Dougan SD</t>
  </si>
  <si>
    <t>Frontiers in pediatrics</t>
  </si>
  <si>
    <t>Excluded because the study primarily evaluates agreement and documentation quality between a congenital anomaly registry and hospital discharge records, rather than assessing the data quality of claims-based data as its main objective.</t>
  </si>
  <si>
    <t>Characterizing physician directory data quality: variation by specialty, state, and insurer.</t>
  </si>
  <si>
    <t>https://doi.org/10.1186/s12913-024-11269-5</t>
  </si>
  <si>
    <t>Butala NM; Jiwani K; Bucholz EM</t>
  </si>
  <si>
    <t>BMC health services research</t>
  </si>
  <si>
    <t>Excluded because the study assesses provider-directory data maintained by health insurers, not patient-level claims or administrative billing data. Although provider directories support insurance administration, they are outside the review’s defined scope of claims-data quality assessment.</t>
  </si>
  <si>
    <t>Administrative Data in Cardiovascular Research-A Comparison of Polish National Health Fund and CRAFT Registry Data.</t>
  </si>
  <si>
    <t>https://doi.org/10.3390/ijerph191911964</t>
  </si>
  <si>
    <t>Maciejewski C; Ozierański K; Basza M; Lodziński P; Śliwczyński A; Kraj L; Krajsman MJ; Prado Paulino J; Tymińska A; Opolski G; Cacko A; Grabowski M; Balsam P</t>
  </si>
  <si>
    <t>International journal of environmental research and public health</t>
  </si>
  <si>
    <t>Transforming the Medicare Claims Data to the OMOP Common Data Model.</t>
  </si>
  <si>
    <t>https://doi.org/10.3233/SHTI251106</t>
  </si>
  <si>
    <t>Lee YA; Lu Y; Bian J; Guo J; He X</t>
  </si>
  <si>
    <t>Excluded because the study primarily describes and validates the ETL process used to transform Medicare claims data into the OMOP Common Data Model. It does not independently evaluate claims-data quality dimensions such as completeness, accuracy, plausibility, or consistency as its main research objective.</t>
  </si>
  <si>
    <t>The challenges and opportunities of continuous data quality improvement for healthcare administration data.</t>
  </si>
  <si>
    <t>https://doi.org/10.1093/jamiaopen/ooae058</t>
  </si>
  <si>
    <t>Zhang Y; Callaghan-Koru JA; Koru G</t>
  </si>
  <si>
    <t>JAMIA open</t>
  </si>
  <si>
    <t>Excluded because the paper is broader healthcare administration/data-quality discussion and not clearly focused on insurance claims or administrative billing data as the assessed source.</t>
  </si>
  <si>
    <t>Limited Accuracy of Administrative Data for the Identification and Classification of Adult Congenital Heart Disease.</t>
  </si>
  <si>
    <t>https://doi.org/10.1161/JAHA.117.007378</t>
  </si>
  <si>
    <t>Khan A; Ramsey K; Ballard C; Armstrong E; Burchill LJ; Menashe V; Pantely G; Broberg CS</t>
  </si>
  <si>
    <t>Journal of the American Heart Association</t>
  </si>
  <si>
    <t>Use of Medicare and DOD data for improving VA race data quality.</t>
  </si>
  <si>
    <t>https://doi.org/10.1682/JRRD.2009.08.0122</t>
  </si>
  <si>
    <t>Stroupe KT; Tarlov E; Zhang Q; Haywood T; Owens A; Hynes DM</t>
  </si>
  <si>
    <t>Journal of rehabilitation research and development</t>
  </si>
  <si>
    <t>Excluded because the study evaluates the completeness of race data in the Veterans Affairs administrative healthcare system by linking it with Medicare and Department of Defense data. The primary VA data source consists of internally generated healthcare utilization records rather than patient-level claims or billing data, and the quality of Medicare claims data itself is not assessed.</t>
  </si>
  <si>
    <t>[Quality assurance in cardiology with routine data : Requirement and reality].</t>
  </si>
  <si>
    <t>https://doi.org/10.1007/s00059-025-05306-0</t>
  </si>
  <si>
    <t>Schächinger V</t>
  </si>
  <si>
    <t>Herz</t>
  </si>
  <si>
    <t>Excluded because the publication is a conceptual, non-empirical discussion of using routine data for healthcare quality assurance in cardiology. It does not present an empirical assessment of claims-data quality.</t>
  </si>
  <si>
    <t>Comparison of Electronic Health Record-Based and Claims-Based Diabetes Care Quality Measures: Causes of Discrepancies.</t>
  </si>
  <si>
    <t>https://doi.org/10.1111/1475-6773.12819</t>
  </si>
  <si>
    <t>Laws MB; Michaud J; Shield R; McQuade W; Wilson IB</t>
  </si>
  <si>
    <t>Health services research</t>
  </si>
  <si>
    <t>ETL: From the German Health Data Lab data formats to the OMOP Common Data Model.</t>
  </si>
  <si>
    <t>https://doi.org/10.1371/journal.pone.0311511</t>
  </si>
  <si>
    <t>Finster M; Moinat M; Taghizadeh E</t>
  </si>
  <si>
    <t>PloS one</t>
  </si>
  <si>
    <t>Excluded because the study primarily focuses on transforming German Health Data Lab claims data into the OMOP Common Data Model and validating the ETL process, rather than empirically assessing the quality of the original claims data itself.</t>
  </si>
  <si>
    <t>Health data quality improvement by comparing administrative medical data and billing data.</t>
  </si>
  <si>
    <t>https://doi.org/10.1016/j.ijmedinf.2007.10.003</t>
  </si>
  <si>
    <t>Ceratti A; Roger France FH; Beguin C</t>
  </si>
  <si>
    <t>International journal of medical informatics</t>
  </si>
  <si>
    <t>Analysing health data sources to inform chronic disease management decisions of health insurers: A mixed methods study.</t>
  </si>
  <si>
    <t>https://doi.org/10.1080/17538157.2018.1496088</t>
  </si>
  <si>
    <t>Khoo J; Hasan H</t>
  </si>
  <si>
    <t>Informatics for health &amp; social care</t>
  </si>
  <si>
    <t>How good are the data? Reliability of one health care data bank.</t>
  </si>
  <si>
    <t>https://doi.org/10.1097/00005650-198203000-00003</t>
  </si>
  <si>
    <t>Roos LL Jr; Roos NP; Cageorge SM; Nicol JP</t>
  </si>
  <si>
    <t>Medical care</t>
  </si>
  <si>
    <t>Building an active medical product safety surveillance system in Taiwan: Adaptation of the U.S. Sentinel System common data model structure to the National Health Insurance Research Database in Taiwan.</t>
  </si>
  <si>
    <t>https://doi.org/10.1002/pds.5168</t>
  </si>
  <si>
    <t>Huang K; Lin FJ; Ou HT; Hsu CN; Huang LY; Wang CC; Toh S</t>
  </si>
  <si>
    <t>Pharmacoepidemiology and drug safety</t>
  </si>
  <si>
    <t>Comparison of administrative/billing data to expected protocol-mandated chemotherapy exposure in children with acute myeloid leukemia: A report from the Children&amp;apos;s Oncology Group.</t>
  </si>
  <si>
    <t>https://doi.org/10.1002/pbc.25475</t>
  </si>
  <si>
    <t>Miller TP; Troxel AB; Li Y; Huang YS; Alonzo TA; Gerbing RB; Hall M; Torp K; Fisher BT; Bagatell R; Seif AE; Sung L; Gamis A; Rubin D; Luger S; Aplenc R</t>
  </si>
  <si>
    <t>Pediatric blood &amp; cancer</t>
  </si>
  <si>
    <t>Characterizing Fit-for-Purpose Real-World Data: An Assessment of a Mother-Infant Linkage in the Japan Medical Data Center Claims Database.</t>
  </si>
  <si>
    <t>https://doi.org/10.2147/CLEP.S429246</t>
  </si>
  <si>
    <t>Barberio J; Hernandez RK; Naimi AI; Patzer RE; Kim C; Lash TL</t>
  </si>
  <si>
    <t>Clinical epidemiology</t>
  </si>
  <si>
    <t>Validation of body mass index (BMI)-related ICD-9-CM and ICD-10-CM administrative diagnosis codes recorded in US claims data.</t>
  </si>
  <si>
    <t>https://doi.org/10.1002/pds.4617</t>
  </si>
  <si>
    <t>Ammann EM; Kalsekar I; Yoo A; Johnston SS</t>
  </si>
  <si>
    <t>Completeness and quality of comprehensive managed care data compared with fee-for-service data in national Medicaid claims from 2001 to 2019.</t>
  </si>
  <si>
    <t>https://doi.org/10.1111/1475-6773.14429</t>
  </si>
  <si>
    <t>Samples H; Lloyd K; Ryali R; Martins SS; Cerdá M; Hasin D; Crystal S; Olfson M</t>
  </si>
  <si>
    <t>Characterization of SARS-CoV-2 Diagnostic Tests and Liver Function Tests Among Patients With COVID-19 Diagnosed in Outpatient Settings Using Administrative Healthcare Data and Data From Commercial Laboratories.</t>
  </si>
  <si>
    <t>https://doi.org/10.1002/pds.70094</t>
  </si>
  <si>
    <t>Ali AK; Baglivo A; Govil P; Gibbs LR; Bradley MC; Campbell KE; Chakravarty A; Lasky T; Derbyshire V; Garry EM</t>
  </si>
  <si>
    <t>Excluded because administrative healthcare and laboratory data are used for clinical/laboratory characterization, not as a primary claims-data quality assessment.</t>
  </si>
  <si>
    <t>[Date of Service Provision and Date of Payment in Claims Data: Dealing with Time Differences].</t>
  </si>
  <si>
    <t>https://doi.org/10.1055/a-1030-4223</t>
  </si>
  <si>
    <t>Ditscheid B; Storch J; Krause M; Meyer I; Freytag A</t>
  </si>
  <si>
    <t>Gesundheitswesen (Bundesverband der Arzte des Offentlichen Gesundheitsdienstes (Germany))</t>
  </si>
  <si>
    <t>Benchmarking the Transformed Medicaid Statistical Information System Analytic Files for analysis of opioid use disorder treatment.</t>
  </si>
  <si>
    <t>https://doi.org/10.1111/1475-6773.14422</t>
  </si>
  <si>
    <t>Chughtai MA; Kim JY; Donohue JM; Huskamp HA; Mehrotra A; Barnett ML</t>
  </si>
  <si>
    <t>[Validation of SHI Claims Data Exemplified by Gender-specific Diagnoses].</t>
  </si>
  <si>
    <t>https://doi.org/10.1055/s-0035-1565072</t>
  </si>
  <si>
    <t>Hartmann J; Weidmann C; Biehle R</t>
  </si>
  <si>
    <t>Quality of Big Data in health care</t>
  </si>
  <si>
    <t>https://doi.org/10.1108/IJHCQA-07-2014-0080</t>
  </si>
  <si>
    <t>Sukumar, Sreenivas R.; Natarajan, Ramachandran; Ferrell, Regina K.</t>
  </si>
  <si>
    <t>INTERNATIONAL JOURNAL OF HEALTH CARE QUALITY ASSURANCE</t>
  </si>
  <si>
    <t>Excluded because the paper presents a conceptual roadmap for healthcare big-data quality assurance based on practical experience rather than an empirical assessment of claims-data quality. It does not measure or validate specific data-quality indicators in a defined claims or administrative billing dataset.</t>
  </si>
  <si>
    <t>Utilization of routine data from different statutory health insurance funds: a practical report of experience from the TIM-HF2 study about data acquisition, validation, and processing</t>
  </si>
  <si>
    <t>https://doi.org/10.1007/s00103-023-03735-y</t>
  </si>
  <si>
    <t>Winkler, Hanna; Koehler, Friedrich; Reinhold, Thomas; Willich, Stefan N.; Prescher, Sandra</t>
  </si>
  <si>
    <t>BUNDESGESUNDHEITSBLATT-GESUNDHEITSFORSCHUNG-GESUNDHEITSSCHUTZ</t>
  </si>
  <si>
    <t>Completeness and Quality of Data for Children in Medicaid Comprehensive Managed Care Compared to Fee-for-Service, 2001-2019</t>
  </si>
  <si>
    <t>https://doi.org/10.1111/1475-6773.14651</t>
  </si>
  <si>
    <t>Lloyd, Kristen; Rege, Sanika; Crystal, Stephen; Olfson, Mark; Horton, Daniel B.; Samples, Hillary</t>
  </si>
  <si>
    <t>Home- and community-based care in the new generation of Medicaid administrative data</t>
  </si>
  <si>
    <t>https://doi.org/10.1007/s10742-024-00325-6</t>
  </si>
  <si>
    <t>Wang, Sijiu; Qi, Mingyu; Konetzka, R. Tamara</t>
  </si>
  <si>
    <t>HEALTH SERVICES AND OUTCOMES RESEARCH METHODOLOGY</t>
  </si>
  <si>
    <t>v</t>
  </si>
  <si>
    <t>Quality of documented diagnosis in primary care - Ananalysis using the example of thyroid disorders</t>
  </si>
  <si>
    <t>https://doi.org/10.1016/j.zefq.2016.03.016</t>
  </si>
  <si>
    <t>Muench, Carola; Gottschall, Mandy; Huebsch, Grit; Koeberlein-Neu, Juliane; Schuebel, Jeannine; Bergmann, Antje; Voigt, Karen</t>
  </si>
  <si>
    <t>ZEITSCHRIFT FUR EVIDENZ FORTBILDUNG UND QUALITAET IM GESUNDHEITSWESEN</t>
  </si>
  <si>
    <t>Excluded because the study assesses the quality and consistency of diagnoses and prescriptions documented in primary-care patient records. Although the findings may have implications for statutory health-insurance data, the evaluated primary data source was general-practice medical records rather than healthcare insurance claims or administrative billing data.</t>
  </si>
  <si>
    <t>Towards Structured Data Quality Assessment in the German Medical Informatics Initiative: Initial Approach in the MII Demonstrator Study - MEDINFO 2019: HEALTH AND WELLBEING E-NETWORKS FOR ALL</t>
  </si>
  <si>
    <t>https://doi.org/10.3233/SHTI190508</t>
  </si>
  <si>
    <t>Kamdje-Wabo, Gaetan; Gradinger, Tobias; Loebe, Matthias; Lodahl, Robert; Seuchter, Susanne Andrea; Sax, Ulrich; Ganslandt, Thomas</t>
  </si>
  <si>
    <t>IOS Press / Sage Publishing</t>
  </si>
  <si>
    <t>A Continuous Markov-Chain Model of Data Quality Transition: Application in Insurance-Claim Handling - NEW HORIZONS IN DESIGN SCIENCE: BROADENING THE RESEARCH AGENDA</t>
  </si>
  <si>
    <t>https://doi.org/10.1007/978-3-319-18714-3_13</t>
  </si>
  <si>
    <t>Zak, Yuval; Even, Adir</t>
  </si>
  <si>
    <t>Springer Nature</t>
  </si>
  <si>
    <t>Excluded because the study applies a data-quality transition model to a general insurance-claim handling process rather than to healthcare insurance claims or administrative medical billing data. Therefore, the evaluated data source falls outside the scope of the review.</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</si>
</sst>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xfId="0" numFmtId="0" borderId="0" fontId="0" fillId="0"/>
    <xf xfId="0" numFmtId="3" applyNumberFormat="1" borderId="1" applyBorder="1" fontId="1" applyFont="1" fillId="0" applyAlignment="1">
      <alignment horizontal="left"/>
    </xf>
    <xf xfId="0" numFmtId="1" applyNumberFormat="1" borderId="1" applyBorder="1" fontId="1" applyFont="1" fillId="0" applyAlignment="1">
      <alignment horizontal="left"/>
    </xf>
    <xf xfId="0" numFmtId="0" borderId="1" applyBorder="1" fontId="1" applyFont="1" fillId="0" applyAlignment="1">
      <alignment horizontal="left"/>
    </xf>
    <xf xfId="0" numFmtId="0" borderId="1" applyBorder="1" fontId="1" applyFont="1" fillId="0" applyAlignment="1">
      <alignment horizontal="center"/>
    </xf>
    <xf xfId="0" numFmtId="3" applyNumberFormat="1" borderId="1" applyBorder="1" fontId="2" applyFont="1" fillId="0" applyAlignment="1">
      <alignment horizontal="right"/>
    </xf>
    <xf xfId="0" numFmtId="1" applyNumberFormat="1" borderId="1" applyBorder="1" fontId="2" applyFont="1" fillId="0" applyAlignment="1">
      <alignment horizontal="right"/>
    </xf>
    <xf xfId="0" numFmtId="0" borderId="1" applyBorder="1" fontId="2" applyFont="1" fillId="0" applyAlignment="1">
      <alignment horizontal="left"/>
    </xf>
    <xf xfId="0" numFmtId="0" borderId="1" applyBorder="1" fontId="2" applyFont="1" fillId="0" applyAlignment="1">
      <alignment horizontal="center"/>
    </xf>
    <xf xfId="0" numFmtId="3" applyNumberFormat="1" borderId="0" fontId="0" fillId="0" applyAlignment="1">
      <alignment horizontal="right"/>
    </xf>
    <xf xfId="0" numFmtId="1" applyNumberFormat="1" borderId="0" fontId="0" fillId="0" applyAlignment="1">
      <alignment horizontal="right"/>
    </xf>
    <xf xfId="0" numFmtId="0" borderId="0" fontId="0" fillId="0" applyAlignment="1">
      <alignment horizontal="left"/>
    </xf>
    <xf xfId="0" numFmtId="0" borderId="0" fontId="0" fillId="0" applyAlignment="1">
      <alignment horizontal="center"/>
    </xf>
    <xf xfId="0" numFmtId="0"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2"/>
  <sheetViews>
    <sheetView workbookViewId="0"/>
  </sheetViews>
  <sheetFormatPr defaultRowHeight="15" x14ac:dyDescent="0.25"/>
  <cols>
    <col min="1" max="1" style="9" width="6.005" customWidth="1" bestFit="1"/>
    <col min="2" max="2" style="11" width="48.005" customWidth="1" bestFit="1"/>
    <col min="3" max="3" style="11" width="42.005" customWidth="1" bestFit="1"/>
    <col min="4" max="4" style="11" width="38.005" customWidth="1" bestFit="1"/>
    <col min="5" max="5" style="11" width="28.005" customWidth="1" bestFit="1"/>
    <col min="6" max="6" style="11" width="16.005" customWidth="1" bestFit="1"/>
    <col min="7" max="7" style="11" width="18.005" customWidth="1" bestFit="1"/>
    <col min="8" max="8" style="11" width="18.005" customWidth="1" bestFit="1"/>
    <col min="9" max="9" style="11" width="18.005" customWidth="1" bestFit="1"/>
    <col min="10" max="10" style="11" width="18.005" customWidth="1" bestFit="1"/>
    <col min="11" max="11" style="11" width="18.005" customWidth="1" bestFit="1"/>
    <col min="12" max="12" style="11" width="34.005" customWidth="1" bestFit="1"/>
    <col min="13" max="13" style="11" width="65.005" customWidth="1" bestFit="1"/>
  </cols>
  <sheetData>
    <row x14ac:dyDescent="0.25" r="1" customHeight="1" ht="17.25">
      <c r="A1" s="1" t="s">
        <v>0</v>
      </c>
      <c r="B1" s="3" t="s">
        <v>135</v>
      </c>
      <c r="C1" s="3" t="s">
        <v>136</v>
      </c>
      <c r="D1" s="3" t="s">
        <v>2</v>
      </c>
      <c r="E1" s="3" t="s">
        <v>137</v>
      </c>
      <c r="F1" s="3" t="s">
        <v>138</v>
      </c>
      <c r="G1" s="3" t="s">
        <v>139</v>
      </c>
      <c r="H1" s="3" t="s">
        <v>140</v>
      </c>
      <c r="I1" s="3" t="s">
        <v>141</v>
      </c>
      <c r="J1" s="3" t="s">
        <v>142</v>
      </c>
      <c r="K1" s="3" t="s">
        <v>143</v>
      </c>
      <c r="L1" s="3" t="s">
        <v>117</v>
      </c>
      <c r="M1" s="3" t="s">
        <v>144</v>
      </c>
    </row>
    <row x14ac:dyDescent="0.25" r="2" customHeight="1" ht="17.25">
      <c r="A2" s="5">
        <v>1</v>
      </c>
      <c r="B2" s="7" t="s">
        <v>145</v>
      </c>
      <c r="C2" s="7" t="s">
        <v>146</v>
      </c>
      <c r="D2" s="7" t="s">
        <v>147</v>
      </c>
      <c r="E2" s="7" t="s">
        <v>148</v>
      </c>
      <c r="F2" s="7" t="s">
        <v>149</v>
      </c>
      <c r="G2" s="7" t="s">
        <v>150</v>
      </c>
      <c r="H2" s="7" t="s">
        <v>150</v>
      </c>
      <c r="I2" s="7" t="s">
        <v>150</v>
      </c>
      <c r="J2" s="7" t="s">
        <v>151</v>
      </c>
      <c r="K2" s="7" t="s">
        <v>151</v>
      </c>
      <c r="L2" s="7" t="s">
        <v>151</v>
      </c>
      <c r="M2" s="7"/>
    </row>
    <row x14ac:dyDescent="0.25" r="3" customHeight="1" ht="17.25">
      <c r="A3" s="5">
        <v>2</v>
      </c>
      <c r="B3" s="7" t="s">
        <v>152</v>
      </c>
      <c r="C3" s="7" t="s">
        <v>153</v>
      </c>
      <c r="D3" s="7" t="s">
        <v>154</v>
      </c>
      <c r="E3" s="7" t="s">
        <v>155</v>
      </c>
      <c r="F3" s="7" t="s">
        <v>156</v>
      </c>
      <c r="G3" s="7" t="s">
        <v>157</v>
      </c>
      <c r="H3" s="7" t="s">
        <v>151</v>
      </c>
      <c r="I3" s="7" t="s">
        <v>151</v>
      </c>
      <c r="J3" s="7" t="s">
        <v>157</v>
      </c>
      <c r="K3" s="7" t="s">
        <v>158</v>
      </c>
      <c r="L3" s="7" t="s">
        <v>127</v>
      </c>
      <c r="M3" s="7" t="s">
        <v>159</v>
      </c>
    </row>
    <row x14ac:dyDescent="0.25" r="4" customHeight="1" ht="17.25">
      <c r="A4" s="5">
        <v>3</v>
      </c>
      <c r="B4" s="7" t="s">
        <v>160</v>
      </c>
      <c r="C4" s="7" t="s">
        <v>161</v>
      </c>
      <c r="D4" s="7" t="s">
        <v>162</v>
      </c>
      <c r="E4" s="7" t="s">
        <v>163</v>
      </c>
      <c r="F4" s="7" t="s">
        <v>156</v>
      </c>
      <c r="G4" s="7" t="s">
        <v>157</v>
      </c>
      <c r="H4" s="7" t="s">
        <v>151</v>
      </c>
      <c r="I4" s="7" t="s">
        <v>151</v>
      </c>
      <c r="J4" s="7" t="s">
        <v>157</v>
      </c>
      <c r="K4" s="7" t="s">
        <v>157</v>
      </c>
      <c r="L4" s="7" t="s">
        <v>121</v>
      </c>
      <c r="M4" s="7" t="s">
        <v>164</v>
      </c>
    </row>
    <row x14ac:dyDescent="0.25" r="5" customHeight="1" ht="17.25">
      <c r="A5" s="5">
        <v>4</v>
      </c>
      <c r="B5" s="7" t="s">
        <v>165</v>
      </c>
      <c r="C5" s="7" t="s">
        <v>166</v>
      </c>
      <c r="D5" s="7" t="s">
        <v>167</v>
      </c>
      <c r="E5" s="7" t="s">
        <v>168</v>
      </c>
      <c r="F5" s="7" t="s">
        <v>149</v>
      </c>
      <c r="G5" s="7" t="s">
        <v>157</v>
      </c>
      <c r="H5" s="7" t="s">
        <v>157</v>
      </c>
      <c r="I5" s="7" t="s">
        <v>157</v>
      </c>
      <c r="J5" s="7" t="s">
        <v>151</v>
      </c>
      <c r="K5" s="7" t="s">
        <v>151</v>
      </c>
      <c r="L5" s="7" t="s">
        <v>121</v>
      </c>
      <c r="M5" s="7" t="s">
        <v>169</v>
      </c>
    </row>
    <row x14ac:dyDescent="0.25" r="6" customHeight="1" ht="17.25">
      <c r="A6" s="5">
        <v>5</v>
      </c>
      <c r="B6" s="7" t="s">
        <v>170</v>
      </c>
      <c r="C6" s="7" t="s">
        <v>171</v>
      </c>
      <c r="D6" s="7" t="s">
        <v>172</v>
      </c>
      <c r="E6" s="7" t="s">
        <v>173</v>
      </c>
      <c r="F6" s="7" t="s">
        <v>156</v>
      </c>
      <c r="G6" s="7" t="s">
        <v>150</v>
      </c>
      <c r="H6" s="7" t="s">
        <v>151</v>
      </c>
      <c r="I6" s="7" t="s">
        <v>151</v>
      </c>
      <c r="J6" s="7" t="s">
        <v>150</v>
      </c>
      <c r="K6" s="7" t="s">
        <v>150</v>
      </c>
      <c r="L6" s="7" t="s">
        <v>151</v>
      </c>
      <c r="M6" s="7"/>
    </row>
    <row x14ac:dyDescent="0.25" r="7" customHeight="1" ht="17.25">
      <c r="A7" s="5">
        <v>6</v>
      </c>
      <c r="B7" s="7" t="s">
        <v>174</v>
      </c>
      <c r="C7" s="7" t="s">
        <v>175</v>
      </c>
      <c r="D7" s="7" t="s">
        <v>176</v>
      </c>
      <c r="E7" s="7" t="s">
        <v>148</v>
      </c>
      <c r="F7" s="7" t="s">
        <v>149</v>
      </c>
      <c r="G7" s="7" t="s">
        <v>157</v>
      </c>
      <c r="H7" s="7" t="s">
        <v>157</v>
      </c>
      <c r="I7" s="7" t="s">
        <v>157</v>
      </c>
      <c r="J7" s="7" t="s">
        <v>151</v>
      </c>
      <c r="K7" s="7" t="s">
        <v>151</v>
      </c>
      <c r="L7" s="7" t="s">
        <v>124</v>
      </c>
      <c r="M7" s="7" t="s">
        <v>177</v>
      </c>
    </row>
    <row x14ac:dyDescent="0.25" r="8" customHeight="1" ht="17.25">
      <c r="A8" s="5">
        <v>7</v>
      </c>
      <c r="B8" s="7" t="s">
        <v>178</v>
      </c>
      <c r="C8" s="7" t="s">
        <v>179</v>
      </c>
      <c r="D8" s="7" t="s">
        <v>180</v>
      </c>
      <c r="E8" s="7" t="s">
        <v>181</v>
      </c>
      <c r="F8" s="7" t="s">
        <v>156</v>
      </c>
      <c r="G8" s="7" t="s">
        <v>157</v>
      </c>
      <c r="H8" s="7" t="s">
        <v>151</v>
      </c>
      <c r="I8" s="7" t="s">
        <v>151</v>
      </c>
      <c r="J8" s="7" t="s">
        <v>158</v>
      </c>
      <c r="K8" s="7" t="s">
        <v>157</v>
      </c>
      <c r="L8" s="7" t="s">
        <v>127</v>
      </c>
      <c r="M8" s="7" t="s">
        <v>182</v>
      </c>
    </row>
    <row x14ac:dyDescent="0.25" r="9" customHeight="1" ht="17.25">
      <c r="A9" s="5">
        <v>8</v>
      </c>
      <c r="B9" s="7" t="s">
        <v>183</v>
      </c>
      <c r="C9" s="7" t="s">
        <v>184</v>
      </c>
      <c r="D9" s="7" t="s">
        <v>185</v>
      </c>
      <c r="E9" s="7" t="s">
        <v>186</v>
      </c>
      <c r="F9" s="7" t="s">
        <v>149</v>
      </c>
      <c r="G9" s="7" t="s">
        <v>150</v>
      </c>
      <c r="H9" s="7" t="s">
        <v>150</v>
      </c>
      <c r="I9" s="7" t="s">
        <v>150</v>
      </c>
      <c r="J9" s="7" t="s">
        <v>151</v>
      </c>
      <c r="K9" s="7" t="s">
        <v>151</v>
      </c>
      <c r="L9" s="7" t="s">
        <v>151</v>
      </c>
      <c r="M9" s="7"/>
    </row>
    <row x14ac:dyDescent="0.25" r="10" customHeight="1" ht="17.25">
      <c r="A10" s="5">
        <v>9</v>
      </c>
      <c r="B10" s="7" t="s">
        <v>187</v>
      </c>
      <c r="C10" s="7" t="s">
        <v>188</v>
      </c>
      <c r="D10" s="7" t="s">
        <v>189</v>
      </c>
      <c r="E10" s="7" t="s">
        <v>190</v>
      </c>
      <c r="F10" s="7" t="s">
        <v>156</v>
      </c>
      <c r="G10" s="7" t="s">
        <v>157</v>
      </c>
      <c r="H10" s="7" t="s">
        <v>157</v>
      </c>
      <c r="I10" s="7" t="s">
        <v>158</v>
      </c>
      <c r="J10" s="7" t="s">
        <v>151</v>
      </c>
      <c r="K10" s="7" t="s">
        <v>151</v>
      </c>
      <c r="L10" s="7" t="s">
        <v>121</v>
      </c>
      <c r="M10" s="7" t="s">
        <v>191</v>
      </c>
    </row>
    <row x14ac:dyDescent="0.25" r="11" customHeight="1" ht="17.25">
      <c r="A11" s="5">
        <v>10</v>
      </c>
      <c r="B11" s="7" t="s">
        <v>192</v>
      </c>
      <c r="C11" s="7" t="s">
        <v>193</v>
      </c>
      <c r="D11" s="7" t="s">
        <v>194</v>
      </c>
      <c r="E11" s="7" t="s">
        <v>195</v>
      </c>
      <c r="F11" s="7" t="s">
        <v>156</v>
      </c>
      <c r="G11" s="7" t="s">
        <v>157</v>
      </c>
      <c r="H11" s="7" t="s">
        <v>151</v>
      </c>
      <c r="I11" s="7" t="s">
        <v>151</v>
      </c>
      <c r="J11" s="7" t="s">
        <v>157</v>
      </c>
      <c r="K11" s="7" t="s">
        <v>157</v>
      </c>
      <c r="L11" s="7" t="s">
        <v>127</v>
      </c>
      <c r="M11" s="7" t="s">
        <v>196</v>
      </c>
    </row>
    <row x14ac:dyDescent="0.25" r="12" customHeight="1" ht="17.25">
      <c r="A12" s="5">
        <v>11</v>
      </c>
      <c r="B12" s="7" t="s">
        <v>197</v>
      </c>
      <c r="C12" s="7" t="s">
        <v>198</v>
      </c>
      <c r="D12" s="7" t="s">
        <v>199</v>
      </c>
      <c r="E12" s="7" t="s">
        <v>200</v>
      </c>
      <c r="F12" s="7" t="s">
        <v>149</v>
      </c>
      <c r="G12" s="7" t="s">
        <v>150</v>
      </c>
      <c r="H12" s="7" t="s">
        <v>158</v>
      </c>
      <c r="I12" s="7" t="s">
        <v>150</v>
      </c>
      <c r="J12" s="7" t="s">
        <v>151</v>
      </c>
      <c r="K12" s="7" t="s">
        <v>151</v>
      </c>
      <c r="L12" s="7" t="s">
        <v>151</v>
      </c>
      <c r="M12" s="7"/>
    </row>
    <row x14ac:dyDescent="0.25" r="13" customHeight="1" ht="17.25">
      <c r="A13" s="5">
        <v>12</v>
      </c>
      <c r="B13" s="7" t="s">
        <v>201</v>
      </c>
      <c r="C13" s="7" t="s">
        <v>202</v>
      </c>
      <c r="D13" s="7" t="s">
        <v>203</v>
      </c>
      <c r="E13" s="7" t="s">
        <v>204</v>
      </c>
      <c r="F13" s="7" t="s">
        <v>149</v>
      </c>
      <c r="G13" s="7" t="s">
        <v>157</v>
      </c>
      <c r="H13" s="7" t="s">
        <v>157</v>
      </c>
      <c r="I13" s="7" t="s">
        <v>157</v>
      </c>
      <c r="J13" s="7" t="s">
        <v>151</v>
      </c>
      <c r="K13" s="7" t="s">
        <v>151</v>
      </c>
      <c r="L13" s="7" t="s">
        <v>124</v>
      </c>
      <c r="M13" s="7" t="s">
        <v>205</v>
      </c>
    </row>
    <row x14ac:dyDescent="0.25" r="14" customHeight="1" ht="17.25">
      <c r="A14" s="5">
        <v>13</v>
      </c>
      <c r="B14" s="7" t="s">
        <v>206</v>
      </c>
      <c r="C14" s="7" t="s">
        <v>207</v>
      </c>
      <c r="D14" s="7" t="s">
        <v>208</v>
      </c>
      <c r="E14" s="7" t="s">
        <v>209</v>
      </c>
      <c r="F14" s="7" t="s">
        <v>156</v>
      </c>
      <c r="G14" s="7" t="s">
        <v>150</v>
      </c>
      <c r="H14" s="7" t="s">
        <v>151</v>
      </c>
      <c r="I14" s="7" t="s">
        <v>151</v>
      </c>
      <c r="J14" s="7" t="s">
        <v>150</v>
      </c>
      <c r="K14" s="7" t="s">
        <v>150</v>
      </c>
      <c r="L14" s="7" t="s">
        <v>151</v>
      </c>
      <c r="M14" s="7"/>
    </row>
    <row x14ac:dyDescent="0.25" r="15" customHeight="1" ht="17.25">
      <c r="A15" s="5">
        <v>14</v>
      </c>
      <c r="B15" s="7" t="s">
        <v>210</v>
      </c>
      <c r="C15" s="7" t="s">
        <v>211</v>
      </c>
      <c r="D15" s="7" t="s">
        <v>212</v>
      </c>
      <c r="E15" s="7" t="s">
        <v>213</v>
      </c>
      <c r="F15" s="7" t="s">
        <v>156</v>
      </c>
      <c r="G15" s="7" t="s">
        <v>150</v>
      </c>
      <c r="H15" s="7" t="s">
        <v>151</v>
      </c>
      <c r="I15" s="7" t="s">
        <v>151</v>
      </c>
      <c r="J15" s="7" t="s">
        <v>150</v>
      </c>
      <c r="K15" s="7" t="s">
        <v>150</v>
      </c>
      <c r="L15" s="7" t="s">
        <v>151</v>
      </c>
      <c r="M15" s="7"/>
    </row>
    <row x14ac:dyDescent="0.25" r="16" customHeight="1" ht="17.25">
      <c r="A16" s="5">
        <v>15</v>
      </c>
      <c r="B16" s="7" t="s">
        <v>214</v>
      </c>
      <c r="C16" s="7" t="s">
        <v>215</v>
      </c>
      <c r="D16" s="7" t="s">
        <v>216</v>
      </c>
      <c r="E16" s="7" t="s">
        <v>217</v>
      </c>
      <c r="F16" s="7" t="s">
        <v>156</v>
      </c>
      <c r="G16" s="7" t="s">
        <v>150</v>
      </c>
      <c r="H16" s="7" t="s">
        <v>151</v>
      </c>
      <c r="I16" s="7" t="s">
        <v>151</v>
      </c>
      <c r="J16" s="7" t="s">
        <v>150</v>
      </c>
      <c r="K16" s="7" t="s">
        <v>150</v>
      </c>
      <c r="L16" s="7" t="s">
        <v>151</v>
      </c>
      <c r="M16" s="7"/>
    </row>
    <row x14ac:dyDescent="0.25" r="17" customHeight="1" ht="17.25">
      <c r="A17" s="5">
        <v>16</v>
      </c>
      <c r="B17" s="7" t="s">
        <v>218</v>
      </c>
      <c r="C17" s="7" t="s">
        <v>219</v>
      </c>
      <c r="D17" s="7" t="s">
        <v>220</v>
      </c>
      <c r="E17" s="7" t="s">
        <v>221</v>
      </c>
      <c r="F17" s="7" t="s">
        <v>149</v>
      </c>
      <c r="G17" s="7" t="s">
        <v>150</v>
      </c>
      <c r="H17" s="7" t="s">
        <v>150</v>
      </c>
      <c r="I17" s="7" t="s">
        <v>150</v>
      </c>
      <c r="J17" s="7"/>
      <c r="K17" s="7"/>
      <c r="L17" s="7" t="s">
        <v>151</v>
      </c>
      <c r="M17" s="7"/>
    </row>
    <row x14ac:dyDescent="0.25" r="18" customHeight="1" ht="17.25">
      <c r="A18" s="5">
        <v>17</v>
      </c>
      <c r="B18" s="7" t="s">
        <v>222</v>
      </c>
      <c r="C18" s="7" t="s">
        <v>223</v>
      </c>
      <c r="D18" s="7" t="s">
        <v>224</v>
      </c>
      <c r="E18" s="7" t="s">
        <v>225</v>
      </c>
      <c r="F18" s="7" t="s">
        <v>156</v>
      </c>
      <c r="G18" s="7" t="s">
        <v>150</v>
      </c>
      <c r="H18" s="7" t="s">
        <v>151</v>
      </c>
      <c r="I18" s="7" t="s">
        <v>151</v>
      </c>
      <c r="J18" s="7" t="s">
        <v>150</v>
      </c>
      <c r="K18" s="7" t="s">
        <v>150</v>
      </c>
      <c r="L18" s="7" t="s">
        <v>151</v>
      </c>
      <c r="M18" s="7"/>
    </row>
    <row x14ac:dyDescent="0.25" r="19" customHeight="1" ht="17.25">
      <c r="A19" s="5">
        <v>18</v>
      </c>
      <c r="B19" s="7" t="s">
        <v>226</v>
      </c>
      <c r="C19" s="7" t="s">
        <v>227</v>
      </c>
      <c r="D19" s="7" t="s">
        <v>228</v>
      </c>
      <c r="E19" s="7" t="s">
        <v>229</v>
      </c>
      <c r="F19" s="7" t="s">
        <v>156</v>
      </c>
      <c r="G19" s="7" t="s">
        <v>150</v>
      </c>
      <c r="H19" s="7" t="s">
        <v>151</v>
      </c>
      <c r="I19" s="7" t="s">
        <v>151</v>
      </c>
      <c r="J19" s="7" t="s">
        <v>150</v>
      </c>
      <c r="K19" s="7" t="s">
        <v>150</v>
      </c>
      <c r="L19" s="7" t="s">
        <v>151</v>
      </c>
      <c r="M19" s="7"/>
    </row>
    <row x14ac:dyDescent="0.25" r="20" customHeight="1" ht="17.25">
      <c r="A20" s="5">
        <v>19</v>
      </c>
      <c r="B20" s="7" t="s">
        <v>230</v>
      </c>
      <c r="C20" s="7" t="s">
        <v>231</v>
      </c>
      <c r="D20" s="7" t="s">
        <v>232</v>
      </c>
      <c r="E20" s="7" t="s">
        <v>221</v>
      </c>
      <c r="F20" s="7" t="s">
        <v>149</v>
      </c>
      <c r="G20" s="7" t="s">
        <v>150</v>
      </c>
      <c r="H20" s="7" t="s">
        <v>150</v>
      </c>
      <c r="I20" s="7" t="s">
        <v>150</v>
      </c>
      <c r="J20" s="7"/>
      <c r="K20" s="7"/>
      <c r="L20" s="7" t="s">
        <v>151</v>
      </c>
      <c r="M20" s="7"/>
    </row>
    <row x14ac:dyDescent="0.25" r="21" customHeight="1" ht="17.25">
      <c r="A21" s="5">
        <v>20</v>
      </c>
      <c r="B21" s="7" t="s">
        <v>233</v>
      </c>
      <c r="C21" s="7" t="s">
        <v>234</v>
      </c>
      <c r="D21" s="7" t="s">
        <v>235</v>
      </c>
      <c r="E21" s="7" t="s">
        <v>200</v>
      </c>
      <c r="F21" s="7" t="s">
        <v>156</v>
      </c>
      <c r="G21" s="7" t="s">
        <v>150</v>
      </c>
      <c r="H21" s="7" t="s">
        <v>151</v>
      </c>
      <c r="I21" s="7" t="s">
        <v>151</v>
      </c>
      <c r="J21" s="7" t="s">
        <v>150</v>
      </c>
      <c r="K21" s="7" t="s">
        <v>150</v>
      </c>
      <c r="L21" s="7" t="s">
        <v>151</v>
      </c>
      <c r="M21" s="7"/>
    </row>
    <row x14ac:dyDescent="0.25" r="22" customHeight="1" ht="17.25">
      <c r="A22" s="5">
        <v>21</v>
      </c>
      <c r="B22" s="7" t="s">
        <v>236</v>
      </c>
      <c r="C22" s="7" t="s">
        <v>237</v>
      </c>
      <c r="D22" s="7" t="s">
        <v>238</v>
      </c>
      <c r="E22" s="7" t="s">
        <v>221</v>
      </c>
      <c r="F22" s="7" t="s">
        <v>149</v>
      </c>
      <c r="G22" s="7" t="s">
        <v>150</v>
      </c>
      <c r="H22" s="7" t="s">
        <v>157</v>
      </c>
      <c r="I22" s="7" t="s">
        <v>150</v>
      </c>
      <c r="J22" s="7" t="s">
        <v>151</v>
      </c>
      <c r="K22" s="7" t="s">
        <v>151</v>
      </c>
      <c r="L22" s="7" t="s">
        <v>127</v>
      </c>
      <c r="M22" s="7" t="s">
        <v>239</v>
      </c>
    </row>
    <row x14ac:dyDescent="0.25" r="23" customHeight="1" ht="17.25">
      <c r="A23" s="5">
        <v>22</v>
      </c>
      <c r="B23" s="7" t="s">
        <v>240</v>
      </c>
      <c r="C23" s="7" t="s">
        <v>241</v>
      </c>
      <c r="D23" s="7" t="s">
        <v>242</v>
      </c>
      <c r="E23" s="7" t="s">
        <v>243</v>
      </c>
      <c r="F23" s="7" t="s">
        <v>149</v>
      </c>
      <c r="G23" s="7" t="s">
        <v>150</v>
      </c>
      <c r="H23" s="7" t="s">
        <v>150</v>
      </c>
      <c r="I23" s="7" t="s">
        <v>158</v>
      </c>
      <c r="J23" s="7" t="s">
        <v>151</v>
      </c>
      <c r="K23" s="7" t="s">
        <v>151</v>
      </c>
      <c r="L23" s="7" t="s">
        <v>151</v>
      </c>
      <c r="M23" s="7"/>
    </row>
    <row x14ac:dyDescent="0.25" r="24" customHeight="1" ht="17.25">
      <c r="A24" s="5">
        <v>23</v>
      </c>
      <c r="B24" s="7" t="s">
        <v>244</v>
      </c>
      <c r="C24" s="7" t="s">
        <v>245</v>
      </c>
      <c r="D24" s="7" t="s">
        <v>246</v>
      </c>
      <c r="E24" s="7" t="s">
        <v>200</v>
      </c>
      <c r="F24" s="7" t="s">
        <v>149</v>
      </c>
      <c r="G24" s="7" t="s">
        <v>150</v>
      </c>
      <c r="H24" s="7" t="s">
        <v>150</v>
      </c>
      <c r="I24" s="7" t="s">
        <v>150</v>
      </c>
      <c r="J24" s="7" t="s">
        <v>151</v>
      </c>
      <c r="K24" s="7" t="s">
        <v>151</v>
      </c>
      <c r="L24" s="7" t="s">
        <v>151</v>
      </c>
      <c r="M24" s="7"/>
    </row>
    <row x14ac:dyDescent="0.25" r="25" customHeight="1" ht="17.25">
      <c r="A25" s="5">
        <v>24</v>
      </c>
      <c r="B25" s="7" t="s">
        <v>247</v>
      </c>
      <c r="C25" s="7" t="s">
        <v>248</v>
      </c>
      <c r="D25" s="7" t="s">
        <v>249</v>
      </c>
      <c r="E25" s="7" t="s">
        <v>243</v>
      </c>
      <c r="F25" s="7" t="s">
        <v>149</v>
      </c>
      <c r="G25" s="7" t="s">
        <v>150</v>
      </c>
      <c r="H25" s="7" t="s">
        <v>150</v>
      </c>
      <c r="I25" s="7" t="s">
        <v>158</v>
      </c>
      <c r="J25" s="7" t="s">
        <v>151</v>
      </c>
      <c r="K25" s="7" t="s">
        <v>151</v>
      </c>
      <c r="L25" s="7" t="s">
        <v>151</v>
      </c>
      <c r="M25" s="7"/>
    </row>
    <row x14ac:dyDescent="0.25" r="26" customHeight="1" ht="17.25">
      <c r="A26" s="5">
        <v>25</v>
      </c>
      <c r="B26" s="7" t="s">
        <v>250</v>
      </c>
      <c r="C26" s="7" t="s">
        <v>251</v>
      </c>
      <c r="D26" s="7" t="s">
        <v>252</v>
      </c>
      <c r="E26" s="7" t="s">
        <v>253</v>
      </c>
      <c r="F26" s="7" t="s">
        <v>149</v>
      </c>
      <c r="G26" s="7" t="s">
        <v>157</v>
      </c>
      <c r="H26" s="7" t="s">
        <v>157</v>
      </c>
      <c r="I26" s="7" t="s">
        <v>157</v>
      </c>
      <c r="J26" s="7" t="s">
        <v>151</v>
      </c>
      <c r="K26" s="7" t="s">
        <v>151</v>
      </c>
      <c r="L26" s="7" t="s">
        <v>127</v>
      </c>
      <c r="M26" s="7" t="s">
        <v>254</v>
      </c>
    </row>
    <row x14ac:dyDescent="0.25" r="27" customHeight="1" ht="17.25">
      <c r="A27" s="5">
        <v>26</v>
      </c>
      <c r="B27" s="7" t="s">
        <v>255</v>
      </c>
      <c r="C27" s="7" t="s">
        <v>256</v>
      </c>
      <c r="D27" s="7" t="s">
        <v>257</v>
      </c>
      <c r="E27" s="7" t="s">
        <v>258</v>
      </c>
      <c r="F27" s="7" t="s">
        <v>149</v>
      </c>
      <c r="G27" s="7" t="s">
        <v>150</v>
      </c>
      <c r="H27" s="7" t="s">
        <v>150</v>
      </c>
      <c r="I27" s="7" t="s">
        <v>158</v>
      </c>
      <c r="J27" s="7" t="s">
        <v>151</v>
      </c>
      <c r="K27" s="7" t="s">
        <v>151</v>
      </c>
      <c r="L27" s="7" t="s">
        <v>151</v>
      </c>
      <c r="M27" s="7"/>
    </row>
    <row x14ac:dyDescent="0.25" r="28" customHeight="1" ht="17.25">
      <c r="A28" s="5">
        <v>27</v>
      </c>
      <c r="B28" s="7" t="s">
        <v>259</v>
      </c>
      <c r="C28" s="7" t="s">
        <v>260</v>
      </c>
      <c r="D28" s="7" t="s">
        <v>261</v>
      </c>
      <c r="E28" s="7" t="s">
        <v>200</v>
      </c>
      <c r="F28" s="7" t="s">
        <v>156</v>
      </c>
      <c r="G28" s="7" t="s">
        <v>150</v>
      </c>
      <c r="H28" s="7" t="s">
        <v>151</v>
      </c>
      <c r="I28" s="7" t="s">
        <v>151</v>
      </c>
      <c r="J28" s="7" t="s">
        <v>150</v>
      </c>
      <c r="K28" s="7" t="s">
        <v>150</v>
      </c>
      <c r="L28" s="7" t="s">
        <v>151</v>
      </c>
      <c r="M28" s="7"/>
    </row>
    <row x14ac:dyDescent="0.25" r="29" customHeight="1" ht="17.25">
      <c r="A29" s="5">
        <v>28</v>
      </c>
      <c r="B29" s="7" t="s">
        <v>262</v>
      </c>
      <c r="C29" s="7" t="s">
        <v>263</v>
      </c>
      <c r="D29" s="7" t="s">
        <v>264</v>
      </c>
      <c r="E29" s="7" t="s">
        <v>265</v>
      </c>
      <c r="F29" s="7" t="s">
        <v>149</v>
      </c>
      <c r="G29" s="7" t="s">
        <v>158</v>
      </c>
      <c r="H29" s="7" t="s">
        <v>150</v>
      </c>
      <c r="I29" s="7" t="s">
        <v>150</v>
      </c>
      <c r="J29" s="7" t="s">
        <v>266</v>
      </c>
      <c r="K29" s="7" t="s">
        <v>151</v>
      </c>
      <c r="L29" s="7" t="s">
        <v>151</v>
      </c>
      <c r="M29" s="7"/>
    </row>
    <row x14ac:dyDescent="0.25" r="30" customHeight="1" ht="17.25">
      <c r="A30" s="5">
        <v>29</v>
      </c>
      <c r="B30" s="7" t="s">
        <v>267</v>
      </c>
      <c r="C30" s="7" t="s">
        <v>268</v>
      </c>
      <c r="D30" s="7" t="s">
        <v>269</v>
      </c>
      <c r="E30" s="7" t="s">
        <v>270</v>
      </c>
      <c r="F30" s="7" t="s">
        <v>156</v>
      </c>
      <c r="G30" s="7" t="s">
        <v>157</v>
      </c>
      <c r="H30" s="7"/>
      <c r="I30" s="7"/>
      <c r="J30" s="7" t="s">
        <v>158</v>
      </c>
      <c r="K30" s="7" t="s">
        <v>157</v>
      </c>
      <c r="L30" s="7" t="s">
        <v>121</v>
      </c>
      <c r="M30" s="7" t="s">
        <v>271</v>
      </c>
    </row>
    <row x14ac:dyDescent="0.25" r="31" customHeight="1" ht="17.25">
      <c r="A31" s="5">
        <v>30</v>
      </c>
      <c r="B31" s="7" t="s">
        <v>272</v>
      </c>
      <c r="C31" s="7" t="s">
        <v>273</v>
      </c>
      <c r="D31" s="7" t="s">
        <v>274</v>
      </c>
      <c r="E31" s="7" t="s">
        <v>275</v>
      </c>
      <c r="F31" s="7" t="s">
        <v>149</v>
      </c>
      <c r="G31" s="7" t="s">
        <v>150</v>
      </c>
      <c r="H31" s="7" t="s">
        <v>150</v>
      </c>
      <c r="I31" s="7" t="s">
        <v>150</v>
      </c>
      <c r="J31" s="7" t="s">
        <v>151</v>
      </c>
      <c r="K31" s="7" t="s">
        <v>151</v>
      </c>
      <c r="L31" s="7" t="s">
        <v>151</v>
      </c>
      <c r="M31" s="7"/>
    </row>
    <row x14ac:dyDescent="0.25" r="32" customHeight="1" ht="17.25">
      <c r="A32" s="5">
        <v>31</v>
      </c>
      <c r="B32" s="7" t="s">
        <v>276</v>
      </c>
      <c r="C32" s="7" t="s">
        <v>277</v>
      </c>
      <c r="D32" s="7" t="s">
        <v>278</v>
      </c>
      <c r="E32" s="7" t="s">
        <v>279</v>
      </c>
      <c r="F32" s="7" t="s">
        <v>156</v>
      </c>
      <c r="G32" s="7" t="s">
        <v>157</v>
      </c>
      <c r="H32" s="7" t="s">
        <v>151</v>
      </c>
      <c r="I32" s="7" t="s">
        <v>151</v>
      </c>
      <c r="J32" s="7" t="s">
        <v>158</v>
      </c>
      <c r="K32" s="7" t="s">
        <v>157</v>
      </c>
      <c r="L32" s="7" t="s">
        <v>121</v>
      </c>
      <c r="M32" s="7"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
  <sheetViews>
    <sheetView workbookViewId="0"/>
  </sheetViews>
  <sheetFormatPr defaultRowHeight="15" x14ac:dyDescent="0.25"/>
  <cols>
    <col min="1" max="1" style="11" width="34.005" customWidth="1" bestFit="1"/>
    <col min="2" max="2" style="11" width="72.005" customWidth="1" bestFit="1"/>
    <col min="3" max="3" style="13" width="10.005" customWidth="1" bestFit="1"/>
    <col min="4" max="4" style="11" width="65.005" customWidth="1" bestFit="1"/>
  </cols>
  <sheetData>
    <row x14ac:dyDescent="0.25" r="1" customHeight="1" ht="17.25">
      <c r="A1" s="3" t="s">
        <v>117</v>
      </c>
      <c r="B1" s="3" t="s">
        <v>118</v>
      </c>
      <c r="C1" s="3" t="s">
        <v>119</v>
      </c>
      <c r="D1" s="3" t="s">
        <v>120</v>
      </c>
    </row>
    <row x14ac:dyDescent="0.25" r="2" customHeight="1" ht="17.25">
      <c r="A2" s="7" t="s">
        <v>121</v>
      </c>
      <c r="B2" s="7" t="s">
        <v>122</v>
      </c>
      <c r="C2" s="5">
        <f>COUNTIF(full_text!$L$2:$L$32,A2)</f>
      </c>
      <c r="D2" s="7" t="s">
        <v>123</v>
      </c>
    </row>
    <row x14ac:dyDescent="0.25" r="3" customHeight="1" ht="17.25">
      <c r="A3" s="7" t="s">
        <v>124</v>
      </c>
      <c r="B3" s="7" t="s">
        <v>125</v>
      </c>
      <c r="C3" s="5">
        <f>COUNTIF(full_text!$L$2:$L$32,A3)</f>
      </c>
      <c r="D3" s="7" t="s">
        <v>126</v>
      </c>
    </row>
    <row x14ac:dyDescent="0.25" r="4" customHeight="1" ht="17.25">
      <c r="A4" s="7" t="s">
        <v>127</v>
      </c>
      <c r="B4" s="7" t="s">
        <v>128</v>
      </c>
      <c r="C4" s="5">
        <f>COUNTIF(full_text!$L$2:$L$32,A4)</f>
      </c>
      <c r="D4" s="7" t="s">
        <v>129</v>
      </c>
    </row>
    <row x14ac:dyDescent="0.25" r="5" customHeight="1" ht="17.25">
      <c r="A5" s="7" t="s">
        <v>130</v>
      </c>
      <c r="B5" s="7" t="s">
        <v>131</v>
      </c>
      <c r="C5" s="5">
        <f>COUNTIF(full_text!$L$2:$L$32,A5)</f>
      </c>
      <c r="D5" s="7"/>
    </row>
    <row x14ac:dyDescent="0.25" r="6" customHeight="1" ht="17.25">
      <c r="A6" s="7" t="s">
        <v>132</v>
      </c>
      <c r="B6" s="7" t="s">
        <v>133</v>
      </c>
      <c r="C6" s="5">
        <f>COUNTIF(full_text!$L$2:$L$32,A6)</f>
      </c>
      <c r="D6" s="7"/>
    </row>
    <row x14ac:dyDescent="0.25" r="7" customHeight="1" ht="17.25">
      <c r="A7" s="7" t="s">
        <v>134</v>
      </c>
      <c r="B7" s="7"/>
      <c r="C7" s="5">
        <f>SUM(C2:C6)</f>
      </c>
      <c r="D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0"/>
  <sheetViews>
    <sheetView workbookViewId="0" tabSelected="1"/>
  </sheetViews>
  <sheetFormatPr defaultRowHeight="15" x14ac:dyDescent="0.25"/>
  <cols>
    <col min="1" max="1" style="9" width="6.005" customWidth="1" bestFit="1"/>
    <col min="2" max="2" style="10" width="10.005" customWidth="1" bestFit="1"/>
    <col min="3" max="3" style="11" width="28.005" customWidth="1" bestFit="1"/>
    <col min="4" max="4" style="12" width="16.005" customWidth="1" bestFit="1"/>
    <col min="5" max="5" style="12" width="26.005" customWidth="1" bestFit="1"/>
    <col min="6" max="6" style="12" width="30.005" customWidth="1" bestFit="1"/>
    <col min="7" max="7" style="11" width="65.005" customWidth="1" bestFit="1"/>
    <col min="8" max="8" style="12" width="38.005" customWidth="1" bestFit="1"/>
    <col min="9" max="9" style="12" width="30.005" customWidth="1" bestFit="1"/>
    <col min="10" max="10" style="11" width="55.005" customWidth="1" bestFit="1"/>
    <col min="11" max="11" style="11" width="35.005" customWidth="1" bestFit="1"/>
  </cols>
  <sheetData>
    <row x14ac:dyDescent="0.25" r="1" customHeight="1" ht="19.5">
      <c r="A1" s="1" t="s">
        <v>0</v>
      </c>
      <c r="B1" s="2" t="s">
        <v>1</v>
      </c>
      <c r="C1" s="3" t="s">
        <v>2</v>
      </c>
      <c r="D1" s="4" t="s">
        <v>3</v>
      </c>
      <c r="E1" s="4" t="s">
        <v>4</v>
      </c>
      <c r="F1" s="4" t="s">
        <v>5</v>
      </c>
      <c r="G1" s="3" t="s">
        <v>6</v>
      </c>
      <c r="H1" s="4" t="s">
        <v>7</v>
      </c>
      <c r="I1" s="4" t="s">
        <v>8</v>
      </c>
      <c r="J1" s="3" t="s">
        <v>9</v>
      </c>
      <c r="K1" s="3" t="s">
        <v>10</v>
      </c>
    </row>
    <row x14ac:dyDescent="0.25" r="2" customHeight="1" ht="19.5">
      <c r="A2" s="5">
        <v>1</v>
      </c>
      <c r="B2" s="6">
        <v>2008</v>
      </c>
      <c r="C2" s="7" t="s">
        <v>11</v>
      </c>
      <c r="D2" s="8" t="s">
        <v>12</v>
      </c>
      <c r="E2" s="8" t="s">
        <v>13</v>
      </c>
      <c r="F2" s="8" t="s">
        <v>14</v>
      </c>
      <c r="G2" s="7" t="s">
        <v>15</v>
      </c>
      <c r="H2" s="8" t="s">
        <v>16</v>
      </c>
      <c r="I2" s="8" t="s">
        <v>17</v>
      </c>
      <c r="J2" s="7" t="s">
        <v>18</v>
      </c>
      <c r="K2" s="7"/>
    </row>
    <row x14ac:dyDescent="0.25" r="3" customHeight="1" ht="19.5">
      <c r="A3" s="5">
        <v>2</v>
      </c>
      <c r="B3" s="6">
        <v>2019</v>
      </c>
      <c r="C3" s="7" t="s">
        <v>19</v>
      </c>
      <c r="D3" s="8" t="s">
        <v>20</v>
      </c>
      <c r="E3" s="8" t="s">
        <v>21</v>
      </c>
      <c r="F3" s="8" t="s">
        <v>22</v>
      </c>
      <c r="G3" s="7" t="s">
        <v>23</v>
      </c>
      <c r="H3" s="8" t="s">
        <v>24</v>
      </c>
      <c r="I3" s="8" t="s">
        <v>25</v>
      </c>
      <c r="J3" s="7" t="s">
        <v>26</v>
      </c>
      <c r="K3" s="7"/>
    </row>
    <row x14ac:dyDescent="0.25" r="4" customHeight="1" ht="19.5">
      <c r="A4" s="5">
        <v>3</v>
      </c>
      <c r="B4" s="6">
        <v>2018</v>
      </c>
      <c r="C4" s="7" t="s">
        <v>27</v>
      </c>
      <c r="D4" s="8" t="s">
        <v>28</v>
      </c>
      <c r="E4" s="8" t="s">
        <v>13</v>
      </c>
      <c r="F4" s="8" t="s">
        <v>29</v>
      </c>
      <c r="G4" s="7" t="s">
        <v>30</v>
      </c>
      <c r="H4" s="8" t="s">
        <v>31</v>
      </c>
      <c r="I4" s="8" t="s">
        <v>32</v>
      </c>
      <c r="J4" s="7" t="s">
        <v>33</v>
      </c>
      <c r="K4" s="7"/>
    </row>
    <row x14ac:dyDescent="0.25" r="5" customHeight="1" ht="19.5">
      <c r="A5" s="5">
        <v>4</v>
      </c>
      <c r="B5" s="6">
        <v>1982</v>
      </c>
      <c r="C5" s="7" t="s">
        <v>34</v>
      </c>
      <c r="D5" s="8" t="s">
        <v>35</v>
      </c>
      <c r="E5" s="8" t="s">
        <v>21</v>
      </c>
      <c r="F5" s="8" t="s">
        <v>22</v>
      </c>
      <c r="G5" s="7" t="s">
        <v>36</v>
      </c>
      <c r="H5" s="8" t="s">
        <v>37</v>
      </c>
      <c r="I5" s="8" t="s">
        <v>38</v>
      </c>
      <c r="J5" s="7" t="s">
        <v>39</v>
      </c>
      <c r="K5" s="7"/>
    </row>
    <row x14ac:dyDescent="0.25" r="6" customHeight="1" ht="19.5">
      <c r="A6" s="5">
        <v>5</v>
      </c>
      <c r="B6" s="6">
        <v>2021</v>
      </c>
      <c r="C6" s="7" t="s">
        <v>40</v>
      </c>
      <c r="D6" s="8" t="s">
        <v>41</v>
      </c>
      <c r="E6" s="8" t="s">
        <v>21</v>
      </c>
      <c r="F6" s="8" t="s">
        <v>42</v>
      </c>
      <c r="G6" s="7" t="s">
        <v>43</v>
      </c>
      <c r="H6" s="8" t="s">
        <v>44</v>
      </c>
      <c r="I6" s="8" t="s">
        <v>45</v>
      </c>
      <c r="J6" s="7" t="s">
        <v>46</v>
      </c>
      <c r="K6" s="7"/>
    </row>
    <row x14ac:dyDescent="0.25" r="7" customHeight="1" ht="19.5">
      <c r="A7" s="5">
        <v>6</v>
      </c>
      <c r="B7" s="6">
        <v>2018</v>
      </c>
      <c r="C7" s="7" t="s">
        <v>47</v>
      </c>
      <c r="D7" s="8" t="s">
        <v>48</v>
      </c>
      <c r="E7" s="8" t="s">
        <v>49</v>
      </c>
      <c r="F7" s="8" t="s">
        <v>14</v>
      </c>
      <c r="G7" s="7" t="s">
        <v>50</v>
      </c>
      <c r="H7" s="8" t="s">
        <v>51</v>
      </c>
      <c r="I7" s="8" t="s">
        <v>52</v>
      </c>
      <c r="J7" s="7" t="s">
        <v>53</v>
      </c>
      <c r="K7" s="7"/>
    </row>
    <row x14ac:dyDescent="0.25" r="8" customHeight="1" ht="19.5">
      <c r="A8" s="5">
        <v>7</v>
      </c>
      <c r="B8" s="6">
        <v>2025</v>
      </c>
      <c r="C8" s="7" t="s">
        <v>54</v>
      </c>
      <c r="D8" s="8" t="s">
        <v>48</v>
      </c>
      <c r="E8" s="8" t="s">
        <v>21</v>
      </c>
      <c r="F8" s="8" t="s">
        <v>55</v>
      </c>
      <c r="G8" s="7" t="s">
        <v>56</v>
      </c>
      <c r="H8" s="8" t="s">
        <v>57</v>
      </c>
      <c r="I8" s="8" t="s">
        <v>58</v>
      </c>
      <c r="J8" s="7" t="s">
        <v>59</v>
      </c>
      <c r="K8" s="7"/>
    </row>
    <row x14ac:dyDescent="0.25" r="9" customHeight="1" ht="19.5">
      <c r="A9" s="5">
        <v>8</v>
      </c>
      <c r="B9" s="6">
        <v>2022</v>
      </c>
      <c r="C9" s="7" t="s">
        <v>60</v>
      </c>
      <c r="D9" s="8" t="s">
        <v>61</v>
      </c>
      <c r="E9" s="8" t="s">
        <v>13</v>
      </c>
      <c r="F9" s="8" t="s">
        <v>55</v>
      </c>
      <c r="G9" s="7" t="s">
        <v>62</v>
      </c>
      <c r="H9" s="8" t="s">
        <v>63</v>
      </c>
      <c r="I9" s="8" t="s">
        <v>64</v>
      </c>
      <c r="J9" s="7" t="s">
        <v>65</v>
      </c>
      <c r="K9" s="7"/>
    </row>
    <row x14ac:dyDescent="0.25" r="10" customHeight="1" ht="19.5">
      <c r="A10" s="5">
        <v>9</v>
      </c>
      <c r="B10" s="6">
        <v>2015</v>
      </c>
      <c r="C10" s="7" t="s">
        <v>66</v>
      </c>
      <c r="D10" s="8" t="s">
        <v>48</v>
      </c>
      <c r="E10" s="8" t="s">
        <v>67</v>
      </c>
      <c r="F10" s="8" t="s">
        <v>14</v>
      </c>
      <c r="G10" s="7" t="s">
        <v>68</v>
      </c>
      <c r="H10" s="8" t="s">
        <v>69</v>
      </c>
      <c r="I10" s="8" t="s">
        <v>70</v>
      </c>
      <c r="J10" s="7" t="s">
        <v>71</v>
      </c>
      <c r="K10" s="7"/>
    </row>
    <row x14ac:dyDescent="0.25" r="11" customHeight="1" ht="19.5">
      <c r="A11" s="5">
        <v>10</v>
      </c>
      <c r="B11" s="6">
        <v>2024</v>
      </c>
      <c r="C11" s="7" t="s">
        <v>72</v>
      </c>
      <c r="D11" s="8" t="s">
        <v>73</v>
      </c>
      <c r="E11" s="8" t="s">
        <v>74</v>
      </c>
      <c r="F11" s="8" t="s">
        <v>42</v>
      </c>
      <c r="G11" s="7" t="s">
        <v>75</v>
      </c>
      <c r="H11" s="8" t="s">
        <v>76</v>
      </c>
      <c r="I11" s="8" t="s">
        <v>77</v>
      </c>
      <c r="J11" s="7" t="s">
        <v>78</v>
      </c>
      <c r="K11" s="7"/>
    </row>
    <row x14ac:dyDescent="0.25" r="12" customHeight="1" ht="19.5">
      <c r="A12" s="5">
        <v>11</v>
      </c>
      <c r="B12" s="6">
        <v>2020</v>
      </c>
      <c r="C12" s="7" t="s">
        <v>79</v>
      </c>
      <c r="D12" s="8" t="s">
        <v>48</v>
      </c>
      <c r="E12" s="8" t="s">
        <v>21</v>
      </c>
      <c r="F12" s="8" t="s">
        <v>22</v>
      </c>
      <c r="G12" s="7" t="s">
        <v>80</v>
      </c>
      <c r="H12" s="8" t="s">
        <v>81</v>
      </c>
      <c r="I12" s="8" t="s">
        <v>58</v>
      </c>
      <c r="J12" s="7" t="s">
        <v>82</v>
      </c>
      <c r="K12" s="7"/>
    </row>
    <row x14ac:dyDescent="0.25" r="13" customHeight="1" ht="19.5">
      <c r="A13" s="5">
        <v>12</v>
      </c>
      <c r="B13" s="6">
        <v>2018</v>
      </c>
      <c r="C13" s="7" t="s">
        <v>83</v>
      </c>
      <c r="D13" s="8" t="s">
        <v>48</v>
      </c>
      <c r="E13" s="8" t="s">
        <v>13</v>
      </c>
      <c r="F13" s="8" t="s">
        <v>22</v>
      </c>
      <c r="G13" s="7" t="s">
        <v>84</v>
      </c>
      <c r="H13" s="8" t="s">
        <v>85</v>
      </c>
      <c r="I13" s="8" t="s">
        <v>86</v>
      </c>
      <c r="J13" s="7" t="s">
        <v>87</v>
      </c>
      <c r="K13" s="7"/>
    </row>
    <row x14ac:dyDescent="0.25" r="14" customHeight="1" ht="19.5">
      <c r="A14" s="5">
        <v>13</v>
      </c>
      <c r="B14" s="6">
        <v>2025</v>
      </c>
      <c r="C14" s="7" t="s">
        <v>88</v>
      </c>
      <c r="D14" s="8" t="s">
        <v>48</v>
      </c>
      <c r="E14" s="8" t="s">
        <v>74</v>
      </c>
      <c r="F14" s="8" t="s">
        <v>14</v>
      </c>
      <c r="G14" s="7" t="s">
        <v>89</v>
      </c>
      <c r="H14" s="8" t="s">
        <v>90</v>
      </c>
      <c r="I14" s="8" t="s">
        <v>58</v>
      </c>
      <c r="J14" s="7" t="s">
        <v>91</v>
      </c>
      <c r="K14" s="7"/>
    </row>
    <row x14ac:dyDescent="0.25" r="15" customHeight="1" ht="19.5">
      <c r="A15" s="5">
        <v>14</v>
      </c>
      <c r="B15" s="6">
        <v>2018</v>
      </c>
      <c r="C15" s="7" t="s">
        <v>92</v>
      </c>
      <c r="D15" s="8" t="s">
        <v>48</v>
      </c>
      <c r="E15" s="8" t="s">
        <v>49</v>
      </c>
      <c r="F15" s="8" t="s">
        <v>29</v>
      </c>
      <c r="G15" s="7" t="s">
        <v>93</v>
      </c>
      <c r="H15" s="8" t="s">
        <v>94</v>
      </c>
      <c r="I15" s="8" t="s">
        <v>58</v>
      </c>
      <c r="J15" s="7" t="s">
        <v>95</v>
      </c>
      <c r="K15" s="7"/>
    </row>
    <row x14ac:dyDescent="0.25" r="16" customHeight="1" ht="19.5">
      <c r="A16" s="5">
        <v>15</v>
      </c>
      <c r="B16" s="6">
        <v>2020</v>
      </c>
      <c r="C16" s="7" t="s">
        <v>96</v>
      </c>
      <c r="D16" s="8" t="s">
        <v>20</v>
      </c>
      <c r="E16" s="8" t="s">
        <v>21</v>
      </c>
      <c r="F16" s="8" t="s">
        <v>55</v>
      </c>
      <c r="G16" s="7" t="s">
        <v>97</v>
      </c>
      <c r="H16" s="8" t="s">
        <v>98</v>
      </c>
      <c r="I16" s="8" t="s">
        <v>25</v>
      </c>
      <c r="J16" s="7" t="s">
        <v>99</v>
      </c>
      <c r="K16" s="7" t="s">
        <v>100</v>
      </c>
    </row>
    <row x14ac:dyDescent="0.25" r="17" customHeight="1" ht="19.5">
      <c r="A17" s="5">
        <v>16</v>
      </c>
      <c r="B17" s="6">
        <v>2016</v>
      </c>
      <c r="C17" s="7" t="s">
        <v>101</v>
      </c>
      <c r="D17" s="8" t="s">
        <v>20</v>
      </c>
      <c r="E17" s="8" t="s">
        <v>21</v>
      </c>
      <c r="F17" s="8" t="s">
        <v>14</v>
      </c>
      <c r="G17" s="7" t="s">
        <v>102</v>
      </c>
      <c r="H17" s="8" t="s">
        <v>103</v>
      </c>
      <c r="I17" s="8" t="s">
        <v>25</v>
      </c>
      <c r="J17" s="7" t="s">
        <v>104</v>
      </c>
      <c r="K17" s="7"/>
    </row>
    <row x14ac:dyDescent="0.25" r="18" customHeight="1" ht="19.5">
      <c r="A18" s="5">
        <v>17</v>
      </c>
      <c r="B18" s="6">
        <v>2023</v>
      </c>
      <c r="C18" s="7" t="s">
        <v>105</v>
      </c>
      <c r="D18" s="8" t="s">
        <v>20</v>
      </c>
      <c r="E18" s="8" t="s">
        <v>13</v>
      </c>
      <c r="F18" s="8" t="s">
        <v>22</v>
      </c>
      <c r="G18" s="7" t="s">
        <v>106</v>
      </c>
      <c r="H18" s="8" t="s">
        <v>107</v>
      </c>
      <c r="I18" s="8" t="s">
        <v>25</v>
      </c>
      <c r="J18" s="7" t="s">
        <v>108</v>
      </c>
      <c r="K18" s="7"/>
    </row>
    <row x14ac:dyDescent="0.25" r="19" customHeight="1" ht="19.5">
      <c r="A19" s="5">
        <v>18</v>
      </c>
      <c r="B19" s="6">
        <v>2025</v>
      </c>
      <c r="C19" s="7" t="s">
        <v>109</v>
      </c>
      <c r="D19" s="8" t="s">
        <v>48</v>
      </c>
      <c r="E19" s="8" t="s">
        <v>67</v>
      </c>
      <c r="F19" s="8" t="s">
        <v>55</v>
      </c>
      <c r="G19" s="7" t="s">
        <v>110</v>
      </c>
      <c r="H19" s="8" t="s">
        <v>57</v>
      </c>
      <c r="I19" s="8" t="s">
        <v>111</v>
      </c>
      <c r="J19" s="7" t="s">
        <v>112</v>
      </c>
      <c r="K19" s="7"/>
    </row>
    <row x14ac:dyDescent="0.25" r="20" customHeight="1" ht="19.5">
      <c r="A20" s="5">
        <v>19</v>
      </c>
      <c r="B20" s="6">
        <v>2025</v>
      </c>
      <c r="C20" s="7" t="s">
        <v>113</v>
      </c>
      <c r="D20" s="8" t="s">
        <v>48</v>
      </c>
      <c r="E20" s="8" t="s">
        <v>21</v>
      </c>
      <c r="F20" s="8" t="s">
        <v>55</v>
      </c>
      <c r="G20" s="7" t="s">
        <v>114</v>
      </c>
      <c r="H20" s="8" t="s">
        <v>115</v>
      </c>
      <c r="I20" s="8" t="s">
        <v>58</v>
      </c>
      <c r="J20" s="7" t="s">
        <v>116</v>
      </c>
      <c r="K20"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full_text</vt:lpstr>
      <vt:lpstr>exclusion_reason_papers</vt:lpstr>
      <vt:lpstr>study_characteristics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2026-07-14T18:20:00.247Z</dcterms:created>
  <dcterms:modified xsi:type="dcterms:W3CDTF">2026-07-14T18:20:00.247Z</dcterms:modified>
</cp:coreProperties>
</file>